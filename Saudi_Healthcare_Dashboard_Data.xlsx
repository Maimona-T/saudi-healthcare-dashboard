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mona\Desktop\My Projects\Data Analysis\saudi healthcare dashboard\"/>
    </mc:Choice>
  </mc:AlternateContent>
  <bookViews>
    <workbookView xWindow="0" yWindow="0" windowWidth="8376" windowHeight="5628" tabRatio="500"/>
  </bookViews>
  <sheets>
    <sheet name="Regional_Snapshot" sheetId="1" r:id="rId1"/>
    <sheet name="Time_Series_2015_2023" sheetId="2" r:id="rId2"/>
    <sheet name="Regional_Trend_2015_2023" sheetId="3" r:id="rId3"/>
    <sheet name="KPI_Reference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4" l="1"/>
  <c r="D9" i="4"/>
  <c r="D8" i="4"/>
  <c r="D7" i="4"/>
  <c r="D6" i="4"/>
  <c r="D5" i="4"/>
  <c r="D4" i="4"/>
  <c r="D3" i="4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<sst xmlns="http://schemas.openxmlformats.org/spreadsheetml/2006/main" count="176" uniqueCount="47">
  <si>
    <t>Saudi Arabia Healthcare Regional Snapshot — 2023</t>
  </si>
  <si>
    <t>Source: GASTAT Annual Health Statistics Report 2023 | Built for portfolio demonstration</t>
  </si>
  <si>
    <t>Region</t>
  </si>
  <si>
    <t>Population (M)</t>
  </si>
  <si>
    <t>Hospitals</t>
  </si>
  <si>
    <t>Beds</t>
  </si>
  <si>
    <t>Doctors</t>
  </si>
  <si>
    <t>Nurses</t>
  </si>
  <si>
    <t>Pharmacies</t>
  </si>
  <si>
    <t>Beds per 1,000 Pop</t>
  </si>
  <si>
    <t>Doctors per 1,000 Pop</t>
  </si>
  <si>
    <t>Nurses per 1,000 Pop</t>
  </si>
  <si>
    <t>Riyadh</t>
  </si>
  <si>
    <t>Makkah</t>
  </si>
  <si>
    <t>Madinah</t>
  </si>
  <si>
    <t>Eastern Province</t>
  </si>
  <si>
    <t>Asir</t>
  </si>
  <si>
    <t>Tabuk</t>
  </si>
  <si>
    <t>Hail</t>
  </si>
  <si>
    <t>Northern Borders</t>
  </si>
  <si>
    <t>Jazan</t>
  </si>
  <si>
    <t>Najran</t>
  </si>
  <si>
    <t>Al-Baha</t>
  </si>
  <si>
    <t>Al-Jouf</t>
  </si>
  <si>
    <t>Qassim</t>
  </si>
  <si>
    <t>Saudi Arabia Healthcare Infrastructure — National Trend 2015–2023</t>
  </si>
  <si>
    <t>Source: GASTAT / Ministry of Health Annual Statistics | Figures approximate for portfolio demonstration</t>
  </si>
  <si>
    <t>Year</t>
  </si>
  <si>
    <t>Total Hospitals</t>
  </si>
  <si>
    <t>Total Beds</t>
  </si>
  <si>
    <t>Total Doctors</t>
  </si>
  <si>
    <t>Total Nurses</t>
  </si>
  <si>
    <t>Total Pharmacies</t>
  </si>
  <si>
    <t>MoH Expenditure (SAR B)</t>
  </si>
  <si>
    <t>Saudi Arabia Healthcare by Region — Annual Trend 2015–2023</t>
  </si>
  <si>
    <t>Source: GASTAT | Each row = Region × Year</t>
  </si>
  <si>
    <t>KPI Reference — Power BI Card Visuals</t>
  </si>
  <si>
    <t>KPI Name</t>
  </si>
  <si>
    <t>2023 Value</t>
  </si>
  <si>
    <t>2015 Value</t>
  </si>
  <si>
    <t>Change %</t>
  </si>
  <si>
    <t>Total Hospitals (National)</t>
  </si>
  <si>
    <t>Total Beds (National)</t>
  </si>
  <si>
    <t>Total Doctors (National)</t>
  </si>
  <si>
    <t>Total Nurses (National)</t>
  </si>
  <si>
    <t>Beds per 1,000 Pop (National Avg)</t>
  </si>
  <si>
    <t>Doctors per 1,000 Pop (National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</si>
</sst>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888888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5A6E"/>
        <bgColor rgb="FF008080"/>
      </patternFill>
    </fill>
    <fill>
      <patternFill patternType="solid">
        <fgColor rgb="FFE6F2F5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A6E"/>
      <rgbColor rgb="FFCCCCCC"/>
      <rgbColor rgb="FF888888"/>
      <rgbColor rgb="FF9999FF"/>
      <rgbColor rgb="FF993366"/>
      <rgbColor rgb="FFFFFFCC"/>
      <rgbColor rgb="FFE6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B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tabSelected="1" zoomScaleNormal="100" workbookViewId="0">
      <pane ySplit="3" topLeftCell="A4" activePane="bottomLeft" state="frozen"/>
      <selection pane="bottomLeft" activeCell="A17" sqref="A17:XFD17"/>
    </sheetView>
  </sheetViews>
  <sheetFormatPr defaultColWidth="8.6640625" defaultRowHeight="14.4" x14ac:dyDescent="0.3"/>
  <cols>
    <col min="1" max="1" width="22" customWidth="1"/>
    <col min="2" max="2" width="15" customWidth="1"/>
    <col min="3" max="6" width="12" customWidth="1"/>
    <col min="7" max="7" width="13" customWidth="1"/>
    <col min="8" max="8" width="18" customWidth="1"/>
    <col min="9" max="10" width="20" customWidth="1"/>
  </cols>
  <sheetData>
    <row r="1" spans="1:10" ht="30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3.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36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x14ac:dyDescent="0.3">
      <c r="A4" s="5" t="s">
        <v>12</v>
      </c>
      <c r="B4" s="6">
        <v>8.1999999999999993</v>
      </c>
      <c r="C4" s="7">
        <v>119</v>
      </c>
      <c r="D4" s="7">
        <v>21400</v>
      </c>
      <c r="E4" s="7">
        <v>28500</v>
      </c>
      <c r="F4" s="7">
        <v>58000</v>
      </c>
      <c r="G4" s="7">
        <v>2850</v>
      </c>
      <c r="H4" s="6">
        <f t="shared" ref="H4:H16" si="0">D4/(B4*1000)*1000</f>
        <v>2609.7560975609758</v>
      </c>
      <c r="I4" s="6">
        <f t="shared" ref="I4:I16" si="1">E4/(B4*1000)*1000</f>
        <v>3475.6097560975609</v>
      </c>
      <c r="J4" s="6">
        <f t="shared" ref="J4:J16" si="2">F4/(B4*1000)*1000</f>
        <v>7073.1707317073169</v>
      </c>
    </row>
    <row r="5" spans="1:10" x14ac:dyDescent="0.3">
      <c r="A5" s="8" t="s">
        <v>13</v>
      </c>
      <c r="B5" s="9">
        <v>8.9</v>
      </c>
      <c r="C5" s="10">
        <v>105</v>
      </c>
      <c r="D5" s="10">
        <v>19800</v>
      </c>
      <c r="E5" s="10">
        <v>26200</v>
      </c>
      <c r="F5" s="10">
        <v>54000</v>
      </c>
      <c r="G5" s="10">
        <v>2600</v>
      </c>
      <c r="H5" s="9">
        <f t="shared" si="0"/>
        <v>2224.7191011235955</v>
      </c>
      <c r="I5" s="9">
        <f t="shared" si="1"/>
        <v>2943.8202247191011</v>
      </c>
      <c r="J5" s="9">
        <f t="shared" si="2"/>
        <v>6067.4157303370785</v>
      </c>
    </row>
    <row r="6" spans="1:10" x14ac:dyDescent="0.3">
      <c r="A6" s="5" t="s">
        <v>14</v>
      </c>
      <c r="B6" s="6">
        <v>2.2000000000000002</v>
      </c>
      <c r="C6" s="7">
        <v>38</v>
      </c>
      <c r="D6" s="7">
        <v>7100</v>
      </c>
      <c r="E6" s="7">
        <v>7800</v>
      </c>
      <c r="F6" s="7">
        <v>16000</v>
      </c>
      <c r="G6" s="7">
        <v>680</v>
      </c>
      <c r="H6" s="6">
        <f t="shared" si="0"/>
        <v>3227.272727272727</v>
      </c>
      <c r="I6" s="6">
        <f t="shared" si="1"/>
        <v>3545.4545454545455</v>
      </c>
      <c r="J6" s="6">
        <f t="shared" si="2"/>
        <v>7272.7272727272721</v>
      </c>
    </row>
    <row r="7" spans="1:10" x14ac:dyDescent="0.3">
      <c r="A7" s="8" t="s">
        <v>15</v>
      </c>
      <c r="B7" s="9">
        <v>5.0999999999999996</v>
      </c>
      <c r="C7" s="10">
        <v>87</v>
      </c>
      <c r="D7" s="10">
        <v>15300</v>
      </c>
      <c r="E7" s="10">
        <v>18900</v>
      </c>
      <c r="F7" s="10">
        <v>39000</v>
      </c>
      <c r="G7" s="10">
        <v>1650</v>
      </c>
      <c r="H7" s="9">
        <f t="shared" si="0"/>
        <v>3000</v>
      </c>
      <c r="I7" s="9">
        <f t="shared" si="1"/>
        <v>3705.8823529411766</v>
      </c>
      <c r="J7" s="9">
        <f t="shared" si="2"/>
        <v>7647.0588235294117</v>
      </c>
    </row>
    <row r="8" spans="1:10" x14ac:dyDescent="0.3">
      <c r="A8" s="5" t="s">
        <v>16</v>
      </c>
      <c r="B8" s="6">
        <v>2.4</v>
      </c>
      <c r="C8" s="7">
        <v>42</v>
      </c>
      <c r="D8" s="7">
        <v>6200</v>
      </c>
      <c r="E8" s="7">
        <v>6100</v>
      </c>
      <c r="F8" s="7">
        <v>13000</v>
      </c>
      <c r="G8" s="7">
        <v>540</v>
      </c>
      <c r="H8" s="6">
        <f t="shared" si="0"/>
        <v>2583.3333333333335</v>
      </c>
      <c r="I8" s="6">
        <f t="shared" si="1"/>
        <v>2541.6666666666665</v>
      </c>
      <c r="J8" s="6">
        <f t="shared" si="2"/>
        <v>5416.666666666667</v>
      </c>
    </row>
    <row r="9" spans="1:10" x14ac:dyDescent="0.3">
      <c r="A9" s="8" t="s">
        <v>17</v>
      </c>
      <c r="B9" s="9">
        <v>0.9</v>
      </c>
      <c r="C9" s="10">
        <v>22</v>
      </c>
      <c r="D9" s="10">
        <v>3100</v>
      </c>
      <c r="E9" s="10">
        <v>2900</v>
      </c>
      <c r="F9" s="10">
        <v>6200</v>
      </c>
      <c r="G9" s="10">
        <v>290</v>
      </c>
      <c r="H9" s="9">
        <f t="shared" si="0"/>
        <v>3444.4444444444448</v>
      </c>
      <c r="I9" s="9">
        <f t="shared" si="1"/>
        <v>3222.2222222222222</v>
      </c>
      <c r="J9" s="9">
        <f t="shared" si="2"/>
        <v>6888.8888888888896</v>
      </c>
    </row>
    <row r="10" spans="1:10" x14ac:dyDescent="0.3">
      <c r="A10" s="5" t="s">
        <v>18</v>
      </c>
      <c r="B10" s="6">
        <v>0.7</v>
      </c>
      <c r="C10" s="7">
        <v>18</v>
      </c>
      <c r="D10" s="7">
        <v>2400</v>
      </c>
      <c r="E10" s="7">
        <v>1900</v>
      </c>
      <c r="F10" s="7">
        <v>4100</v>
      </c>
      <c r="G10" s="7">
        <v>220</v>
      </c>
      <c r="H10" s="6">
        <f t="shared" si="0"/>
        <v>3428.5714285714284</v>
      </c>
      <c r="I10" s="6">
        <f t="shared" si="1"/>
        <v>2714.2857142857142</v>
      </c>
      <c r="J10" s="6">
        <f t="shared" si="2"/>
        <v>5857.1428571428569</v>
      </c>
    </row>
    <row r="11" spans="1:10" x14ac:dyDescent="0.3">
      <c r="A11" s="8" t="s">
        <v>19</v>
      </c>
      <c r="B11" s="9">
        <v>0.4</v>
      </c>
      <c r="C11" s="10">
        <v>12</v>
      </c>
      <c r="D11" s="10">
        <v>1400</v>
      </c>
      <c r="E11" s="10">
        <v>950</v>
      </c>
      <c r="F11" s="10">
        <v>2100</v>
      </c>
      <c r="G11" s="10">
        <v>130</v>
      </c>
      <c r="H11" s="9">
        <f t="shared" si="0"/>
        <v>3500</v>
      </c>
      <c r="I11" s="9">
        <f t="shared" si="1"/>
        <v>2375</v>
      </c>
      <c r="J11" s="9">
        <f t="shared" si="2"/>
        <v>5250</v>
      </c>
    </row>
    <row r="12" spans="1:10" x14ac:dyDescent="0.3">
      <c r="A12" s="5" t="s">
        <v>20</v>
      </c>
      <c r="B12" s="6">
        <v>1.6</v>
      </c>
      <c r="C12" s="7">
        <v>28</v>
      </c>
      <c r="D12" s="7">
        <v>4100</v>
      </c>
      <c r="E12" s="7">
        <v>3600</v>
      </c>
      <c r="F12" s="7">
        <v>7800</v>
      </c>
      <c r="G12" s="7">
        <v>390</v>
      </c>
      <c r="H12" s="6">
        <f t="shared" si="0"/>
        <v>2562.5</v>
      </c>
      <c r="I12" s="6">
        <f t="shared" si="1"/>
        <v>2250</v>
      </c>
      <c r="J12" s="6">
        <f t="shared" si="2"/>
        <v>4875</v>
      </c>
    </row>
    <row r="13" spans="1:10" x14ac:dyDescent="0.3">
      <c r="A13" s="8" t="s">
        <v>21</v>
      </c>
      <c r="B13" s="9">
        <v>0.6</v>
      </c>
      <c r="C13" s="10">
        <v>14</v>
      </c>
      <c r="D13" s="10">
        <v>1800</v>
      </c>
      <c r="E13" s="10">
        <v>1500</v>
      </c>
      <c r="F13" s="10">
        <v>3200</v>
      </c>
      <c r="G13" s="10">
        <v>170</v>
      </c>
      <c r="H13" s="9">
        <f t="shared" si="0"/>
        <v>3000</v>
      </c>
      <c r="I13" s="9">
        <f t="shared" si="1"/>
        <v>2500</v>
      </c>
      <c r="J13" s="9">
        <f t="shared" si="2"/>
        <v>5333.333333333333</v>
      </c>
    </row>
    <row r="14" spans="1:10" x14ac:dyDescent="0.3">
      <c r="A14" s="5" t="s">
        <v>22</v>
      </c>
      <c r="B14" s="6">
        <v>0.5</v>
      </c>
      <c r="C14" s="7">
        <v>11</v>
      </c>
      <c r="D14" s="7">
        <v>1300</v>
      </c>
      <c r="E14" s="7">
        <v>1050</v>
      </c>
      <c r="F14" s="7">
        <v>2300</v>
      </c>
      <c r="G14" s="7">
        <v>140</v>
      </c>
      <c r="H14" s="6">
        <f t="shared" si="0"/>
        <v>2600</v>
      </c>
      <c r="I14" s="6">
        <f t="shared" si="1"/>
        <v>2100</v>
      </c>
      <c r="J14" s="6">
        <f t="shared" si="2"/>
        <v>4600</v>
      </c>
    </row>
    <row r="15" spans="1:10" x14ac:dyDescent="0.3">
      <c r="A15" s="8" t="s">
        <v>23</v>
      </c>
      <c r="B15" s="9">
        <v>0.5</v>
      </c>
      <c r="C15" s="10">
        <v>13</v>
      </c>
      <c r="D15" s="10">
        <v>1600</v>
      </c>
      <c r="E15" s="10">
        <v>1200</v>
      </c>
      <c r="F15" s="10">
        <v>2700</v>
      </c>
      <c r="G15" s="10">
        <v>160</v>
      </c>
      <c r="H15" s="9">
        <f t="shared" si="0"/>
        <v>3200</v>
      </c>
      <c r="I15" s="9">
        <f t="shared" si="1"/>
        <v>2400</v>
      </c>
      <c r="J15" s="9">
        <f t="shared" si="2"/>
        <v>5400</v>
      </c>
    </row>
    <row r="16" spans="1:10" x14ac:dyDescent="0.3">
      <c r="A16" s="5" t="s">
        <v>24</v>
      </c>
      <c r="B16" s="6">
        <v>1.5</v>
      </c>
      <c r="C16" s="7">
        <v>35</v>
      </c>
      <c r="D16" s="7">
        <v>5200</v>
      </c>
      <c r="E16" s="7">
        <v>5400</v>
      </c>
      <c r="F16" s="7">
        <v>11200</v>
      </c>
      <c r="G16" s="7">
        <v>580</v>
      </c>
      <c r="H16" s="6">
        <f t="shared" si="0"/>
        <v>3466.666666666667</v>
      </c>
      <c r="I16" s="6">
        <f t="shared" si="1"/>
        <v>3600</v>
      </c>
      <c r="J16" s="6">
        <f t="shared" si="2"/>
        <v>7466.666666666667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1" width="22" customWidth="1"/>
  </cols>
  <sheetData>
    <row r="1" spans="1:12" ht="30" customHeight="1" x14ac:dyDescent="0.3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6" customHeight="1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9</v>
      </c>
      <c r="H3" s="4" t="s">
        <v>10</v>
      </c>
      <c r="I3" s="4" t="s">
        <v>11</v>
      </c>
      <c r="J3" s="4" t="s">
        <v>3</v>
      </c>
      <c r="K3" s="4" t="s">
        <v>33</v>
      </c>
    </row>
    <row r="4" spans="1:12" x14ac:dyDescent="0.3">
      <c r="A4" s="11">
        <v>2015</v>
      </c>
      <c r="B4" s="7">
        <v>472</v>
      </c>
      <c r="C4" s="7">
        <v>67000</v>
      </c>
      <c r="D4" s="7">
        <v>89000</v>
      </c>
      <c r="E4" s="7">
        <v>174000</v>
      </c>
      <c r="F4" s="7">
        <v>6500</v>
      </c>
      <c r="G4" s="6">
        <v>2.1</v>
      </c>
      <c r="H4" s="6">
        <v>2.7</v>
      </c>
      <c r="I4" s="6">
        <v>5.3</v>
      </c>
      <c r="J4" s="6">
        <v>32.9</v>
      </c>
      <c r="K4" s="7">
        <v>101</v>
      </c>
    </row>
    <row r="5" spans="1:12" x14ac:dyDescent="0.3">
      <c r="A5" s="12">
        <v>2016</v>
      </c>
      <c r="B5" s="10">
        <v>481</v>
      </c>
      <c r="C5" s="10">
        <v>69500</v>
      </c>
      <c r="D5" s="10">
        <v>95000</v>
      </c>
      <c r="E5" s="10">
        <v>185000</v>
      </c>
      <c r="F5" s="10">
        <v>6900</v>
      </c>
      <c r="G5" s="9">
        <v>2.1</v>
      </c>
      <c r="H5" s="9">
        <v>2.8</v>
      </c>
      <c r="I5" s="9">
        <v>5.5</v>
      </c>
      <c r="J5" s="9">
        <v>33.700000000000003</v>
      </c>
      <c r="K5" s="10">
        <v>107</v>
      </c>
    </row>
    <row r="6" spans="1:12" x14ac:dyDescent="0.3">
      <c r="A6" s="11">
        <v>2017</v>
      </c>
      <c r="B6" s="7">
        <v>496</v>
      </c>
      <c r="C6" s="7">
        <v>72200</v>
      </c>
      <c r="D6" s="7">
        <v>101000</v>
      </c>
      <c r="E6" s="7">
        <v>197000</v>
      </c>
      <c r="F6" s="7">
        <v>7300</v>
      </c>
      <c r="G6" s="6">
        <v>2.1</v>
      </c>
      <c r="H6" s="6">
        <v>2.9</v>
      </c>
      <c r="I6" s="6">
        <v>5.6</v>
      </c>
      <c r="J6" s="6">
        <v>34.200000000000003</v>
      </c>
      <c r="K6" s="7">
        <v>95</v>
      </c>
    </row>
    <row r="7" spans="1:12" x14ac:dyDescent="0.3">
      <c r="A7" s="12">
        <v>2018</v>
      </c>
      <c r="B7" s="10">
        <v>510</v>
      </c>
      <c r="C7" s="10">
        <v>74800</v>
      </c>
      <c r="D7" s="10">
        <v>108000</v>
      </c>
      <c r="E7" s="10">
        <v>210000</v>
      </c>
      <c r="F7" s="10">
        <v>7700</v>
      </c>
      <c r="G7" s="9">
        <v>2.2000000000000002</v>
      </c>
      <c r="H7" s="9">
        <v>3</v>
      </c>
      <c r="I7" s="9">
        <v>5.7</v>
      </c>
      <c r="J7" s="9">
        <v>34.9</v>
      </c>
      <c r="K7" s="10">
        <v>97</v>
      </c>
    </row>
    <row r="8" spans="1:12" x14ac:dyDescent="0.3">
      <c r="A8" s="11">
        <v>2019</v>
      </c>
      <c r="B8" s="7">
        <v>523</v>
      </c>
      <c r="C8" s="7">
        <v>77400</v>
      </c>
      <c r="D8" s="7">
        <v>116000</v>
      </c>
      <c r="E8" s="7">
        <v>223000</v>
      </c>
      <c r="F8" s="7">
        <v>8200</v>
      </c>
      <c r="G8" s="6">
        <v>2.2000000000000002</v>
      </c>
      <c r="H8" s="6">
        <v>3.1</v>
      </c>
      <c r="I8" s="6">
        <v>5.9</v>
      </c>
      <c r="J8" s="6">
        <v>35.5</v>
      </c>
      <c r="K8" s="7">
        <v>105</v>
      </c>
    </row>
    <row r="9" spans="1:12" x14ac:dyDescent="0.3">
      <c r="A9" s="12">
        <v>2020</v>
      </c>
      <c r="B9" s="10">
        <v>538</v>
      </c>
      <c r="C9" s="10">
        <v>80100</v>
      </c>
      <c r="D9" s="10">
        <v>124000</v>
      </c>
      <c r="E9" s="10">
        <v>236000</v>
      </c>
      <c r="F9" s="10">
        <v>8700</v>
      </c>
      <c r="G9" s="9">
        <v>2.2000000000000002</v>
      </c>
      <c r="H9" s="9">
        <v>3.2</v>
      </c>
      <c r="I9" s="9">
        <v>6</v>
      </c>
      <c r="J9" s="9">
        <v>36.1</v>
      </c>
      <c r="K9" s="10">
        <v>113</v>
      </c>
    </row>
    <row r="10" spans="1:12" x14ac:dyDescent="0.3">
      <c r="A10" s="11">
        <v>2021</v>
      </c>
      <c r="B10" s="7">
        <v>544</v>
      </c>
      <c r="C10" s="7">
        <v>82500</v>
      </c>
      <c r="D10" s="7">
        <v>131000</v>
      </c>
      <c r="E10" s="7">
        <v>248000</v>
      </c>
      <c r="F10" s="7">
        <v>9100</v>
      </c>
      <c r="G10" s="6">
        <v>2.2000000000000002</v>
      </c>
      <c r="H10" s="6">
        <v>3.3</v>
      </c>
      <c r="I10" s="6">
        <v>6.1</v>
      </c>
      <c r="J10" s="6">
        <v>34.299999999999997</v>
      </c>
      <c r="K10" s="7">
        <v>119</v>
      </c>
    </row>
    <row r="11" spans="1:12" x14ac:dyDescent="0.3">
      <c r="A11" s="12">
        <v>2022</v>
      </c>
      <c r="B11" s="10">
        <v>551</v>
      </c>
      <c r="C11" s="10">
        <v>84800</v>
      </c>
      <c r="D11" s="10">
        <v>139000</v>
      </c>
      <c r="E11" s="10">
        <v>260000</v>
      </c>
      <c r="F11" s="10">
        <v>9500</v>
      </c>
      <c r="G11" s="9">
        <v>2.2000000000000002</v>
      </c>
      <c r="H11" s="9">
        <v>3.4</v>
      </c>
      <c r="I11" s="9">
        <v>6.2</v>
      </c>
      <c r="J11" s="9">
        <v>35.299999999999997</v>
      </c>
      <c r="K11" s="10">
        <v>126</v>
      </c>
    </row>
    <row r="12" spans="1:12" x14ac:dyDescent="0.3">
      <c r="A12" s="11">
        <v>2023</v>
      </c>
      <c r="B12" s="7">
        <v>544</v>
      </c>
      <c r="C12" s="7">
        <v>91800</v>
      </c>
      <c r="D12" s="7">
        <v>148000</v>
      </c>
      <c r="E12" s="7">
        <v>224100</v>
      </c>
      <c r="F12" s="7">
        <v>10150</v>
      </c>
      <c r="G12" s="6">
        <v>2.6</v>
      </c>
      <c r="H12" s="6">
        <v>4.2</v>
      </c>
      <c r="I12" s="6">
        <v>6.3</v>
      </c>
      <c r="J12" s="6">
        <v>35.299999999999997</v>
      </c>
      <c r="K12" s="7">
        <v>133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8" customWidth="1"/>
    <col min="3" max="6" width="12" customWidth="1"/>
  </cols>
  <sheetData>
    <row r="1" spans="1:6" ht="30" customHeight="1" x14ac:dyDescent="0.3">
      <c r="A1" s="3" t="s">
        <v>34</v>
      </c>
      <c r="B1" s="3"/>
      <c r="C1" s="3"/>
      <c r="D1" s="3"/>
      <c r="E1" s="3"/>
      <c r="F1" s="3"/>
    </row>
    <row r="2" spans="1:6" x14ac:dyDescent="0.3">
      <c r="A2" s="2" t="s">
        <v>35</v>
      </c>
      <c r="B2" s="2"/>
      <c r="C2" s="2"/>
      <c r="D2" s="2"/>
      <c r="E2" s="2"/>
      <c r="F2" s="2"/>
    </row>
    <row r="3" spans="1:6" ht="36" customHeight="1" x14ac:dyDescent="0.3">
      <c r="A3" s="4" t="s">
        <v>2</v>
      </c>
      <c r="B3" s="4" t="s">
        <v>27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">
      <c r="A4" s="5" t="s">
        <v>12</v>
      </c>
      <c r="B4" s="11">
        <v>2015</v>
      </c>
      <c r="C4" s="7">
        <v>98</v>
      </c>
      <c r="D4" s="7">
        <v>16300</v>
      </c>
      <c r="E4" s="7">
        <v>19400</v>
      </c>
      <c r="F4" s="7">
        <v>40600</v>
      </c>
    </row>
    <row r="5" spans="1:6" x14ac:dyDescent="0.3">
      <c r="A5" s="12" t="s">
        <v>12</v>
      </c>
      <c r="B5" s="12">
        <v>2016</v>
      </c>
      <c r="C5" s="10">
        <v>100</v>
      </c>
      <c r="D5" s="10">
        <v>16700</v>
      </c>
      <c r="E5" s="10">
        <v>20250</v>
      </c>
      <c r="F5" s="10">
        <v>42300</v>
      </c>
    </row>
    <row r="6" spans="1:6" x14ac:dyDescent="0.3">
      <c r="A6" s="11" t="s">
        <v>12</v>
      </c>
      <c r="B6" s="11">
        <v>2017</v>
      </c>
      <c r="C6" s="7">
        <v>102</v>
      </c>
      <c r="D6" s="7">
        <v>17300</v>
      </c>
      <c r="E6" s="7">
        <v>21100</v>
      </c>
      <c r="F6" s="7">
        <v>44100</v>
      </c>
    </row>
    <row r="7" spans="1:6" x14ac:dyDescent="0.3">
      <c r="A7" s="12" t="s">
        <v>12</v>
      </c>
      <c r="B7" s="12">
        <v>2018</v>
      </c>
      <c r="C7" s="10">
        <v>105</v>
      </c>
      <c r="D7" s="10">
        <v>18000</v>
      </c>
      <c r="E7" s="10">
        <v>22250</v>
      </c>
      <c r="F7" s="10">
        <v>45800</v>
      </c>
    </row>
    <row r="8" spans="1:6" x14ac:dyDescent="0.3">
      <c r="A8" s="11" t="s">
        <v>12</v>
      </c>
      <c r="B8" s="11">
        <v>2019</v>
      </c>
      <c r="C8" s="7">
        <v>107</v>
      </c>
      <c r="D8" s="7">
        <v>18600</v>
      </c>
      <c r="E8" s="7">
        <v>23350</v>
      </c>
      <c r="F8" s="7">
        <v>48100</v>
      </c>
    </row>
    <row r="9" spans="1:6" x14ac:dyDescent="0.3">
      <c r="A9" s="12" t="s">
        <v>12</v>
      </c>
      <c r="B9" s="12">
        <v>2020</v>
      </c>
      <c r="C9" s="10">
        <v>111</v>
      </c>
      <c r="D9" s="10">
        <v>19300</v>
      </c>
      <c r="E9" s="10">
        <v>24500</v>
      </c>
      <c r="F9" s="10">
        <v>50500</v>
      </c>
    </row>
    <row r="10" spans="1:6" x14ac:dyDescent="0.3">
      <c r="A10" s="11" t="s">
        <v>12</v>
      </c>
      <c r="B10" s="11">
        <v>2021</v>
      </c>
      <c r="C10" s="7">
        <v>114</v>
      </c>
      <c r="D10" s="7">
        <v>20100</v>
      </c>
      <c r="E10" s="7">
        <v>25650</v>
      </c>
      <c r="F10" s="7">
        <v>52800</v>
      </c>
    </row>
    <row r="11" spans="1:6" x14ac:dyDescent="0.3">
      <c r="A11" s="12" t="s">
        <v>12</v>
      </c>
      <c r="B11" s="12">
        <v>2022</v>
      </c>
      <c r="C11" s="10">
        <v>117</v>
      </c>
      <c r="D11" s="10">
        <v>20800</v>
      </c>
      <c r="E11" s="10">
        <v>27100</v>
      </c>
      <c r="F11" s="10">
        <v>55700</v>
      </c>
    </row>
    <row r="12" spans="1:6" x14ac:dyDescent="0.3">
      <c r="A12" s="11" t="s">
        <v>12</v>
      </c>
      <c r="B12" s="11">
        <v>2023</v>
      </c>
      <c r="C12" s="7">
        <v>119</v>
      </c>
      <c r="D12" s="7">
        <v>21400</v>
      </c>
      <c r="E12" s="7">
        <v>28500</v>
      </c>
      <c r="F12" s="7">
        <v>58000</v>
      </c>
    </row>
    <row r="13" spans="1:6" x14ac:dyDescent="0.3">
      <c r="A13" s="8" t="s">
        <v>13</v>
      </c>
      <c r="B13" s="12">
        <v>2015</v>
      </c>
      <c r="C13" s="10">
        <v>86</v>
      </c>
      <c r="D13" s="10">
        <v>15000</v>
      </c>
      <c r="E13" s="10">
        <v>17800</v>
      </c>
      <c r="F13" s="10">
        <v>37800</v>
      </c>
    </row>
    <row r="14" spans="1:6" x14ac:dyDescent="0.3">
      <c r="A14" s="11" t="s">
        <v>13</v>
      </c>
      <c r="B14" s="11">
        <v>2016</v>
      </c>
      <c r="C14" s="7">
        <v>88</v>
      </c>
      <c r="D14" s="7">
        <v>15400</v>
      </c>
      <c r="E14" s="7">
        <v>18600</v>
      </c>
      <c r="F14" s="7">
        <v>39400</v>
      </c>
    </row>
    <row r="15" spans="1:6" x14ac:dyDescent="0.3">
      <c r="A15" s="12" t="s">
        <v>13</v>
      </c>
      <c r="B15" s="12">
        <v>2017</v>
      </c>
      <c r="C15" s="10">
        <v>90</v>
      </c>
      <c r="D15" s="10">
        <v>16000</v>
      </c>
      <c r="E15" s="10">
        <v>19400</v>
      </c>
      <c r="F15" s="10">
        <v>41000</v>
      </c>
    </row>
    <row r="16" spans="1:6" x14ac:dyDescent="0.3">
      <c r="A16" s="11" t="s">
        <v>13</v>
      </c>
      <c r="B16" s="11">
        <v>2018</v>
      </c>
      <c r="C16" s="7">
        <v>92</v>
      </c>
      <c r="D16" s="7">
        <v>16600</v>
      </c>
      <c r="E16" s="7">
        <v>20450</v>
      </c>
      <c r="F16" s="7">
        <v>42700</v>
      </c>
    </row>
    <row r="17" spans="1:6" x14ac:dyDescent="0.3">
      <c r="A17" s="12" t="s">
        <v>13</v>
      </c>
      <c r="B17" s="12">
        <v>2019</v>
      </c>
      <c r="C17" s="10">
        <v>94</v>
      </c>
      <c r="D17" s="10">
        <v>17200</v>
      </c>
      <c r="E17" s="10">
        <v>21500</v>
      </c>
      <c r="F17" s="10">
        <v>44800</v>
      </c>
    </row>
    <row r="18" spans="1:6" x14ac:dyDescent="0.3">
      <c r="A18" s="11" t="s">
        <v>13</v>
      </c>
      <c r="B18" s="11">
        <v>2020</v>
      </c>
      <c r="C18" s="7">
        <v>98</v>
      </c>
      <c r="D18" s="7">
        <v>17800</v>
      </c>
      <c r="E18" s="7">
        <v>22550</v>
      </c>
      <c r="F18" s="7">
        <v>47000</v>
      </c>
    </row>
    <row r="19" spans="1:6" x14ac:dyDescent="0.3">
      <c r="A19" s="12" t="s">
        <v>13</v>
      </c>
      <c r="B19" s="12">
        <v>2021</v>
      </c>
      <c r="C19" s="10">
        <v>101</v>
      </c>
      <c r="D19" s="10">
        <v>18600</v>
      </c>
      <c r="E19" s="10">
        <v>23600</v>
      </c>
      <c r="F19" s="10">
        <v>49100</v>
      </c>
    </row>
    <row r="20" spans="1:6" x14ac:dyDescent="0.3">
      <c r="A20" s="11" t="s">
        <v>13</v>
      </c>
      <c r="B20" s="11">
        <v>2022</v>
      </c>
      <c r="C20" s="7">
        <v>103</v>
      </c>
      <c r="D20" s="7">
        <v>19200</v>
      </c>
      <c r="E20" s="7">
        <v>24900</v>
      </c>
      <c r="F20" s="7">
        <v>51800</v>
      </c>
    </row>
    <row r="21" spans="1:6" x14ac:dyDescent="0.3">
      <c r="A21" s="12" t="s">
        <v>13</v>
      </c>
      <c r="B21" s="12">
        <v>2023</v>
      </c>
      <c r="C21" s="10">
        <v>105</v>
      </c>
      <c r="D21" s="10">
        <v>19800</v>
      </c>
      <c r="E21" s="10">
        <v>26200</v>
      </c>
      <c r="F21" s="10">
        <v>54000</v>
      </c>
    </row>
    <row r="22" spans="1:6" x14ac:dyDescent="0.3">
      <c r="A22" s="5" t="s">
        <v>14</v>
      </c>
      <c r="B22" s="11">
        <v>2015</v>
      </c>
      <c r="C22" s="7">
        <v>31</v>
      </c>
      <c r="D22" s="7">
        <v>5400</v>
      </c>
      <c r="E22" s="7">
        <v>5300</v>
      </c>
      <c r="F22" s="7">
        <v>11200</v>
      </c>
    </row>
    <row r="23" spans="1:6" x14ac:dyDescent="0.3">
      <c r="A23" s="12" t="s">
        <v>14</v>
      </c>
      <c r="B23" s="12">
        <v>2016</v>
      </c>
      <c r="C23" s="10">
        <v>32</v>
      </c>
      <c r="D23" s="10">
        <v>5500</v>
      </c>
      <c r="E23" s="10">
        <v>5550</v>
      </c>
      <c r="F23" s="10">
        <v>11700</v>
      </c>
    </row>
    <row r="24" spans="1:6" x14ac:dyDescent="0.3">
      <c r="A24" s="11" t="s">
        <v>14</v>
      </c>
      <c r="B24" s="11">
        <v>2017</v>
      </c>
      <c r="C24" s="7">
        <v>33</v>
      </c>
      <c r="D24" s="7">
        <v>5800</v>
      </c>
      <c r="E24" s="7">
        <v>5750</v>
      </c>
      <c r="F24" s="7">
        <v>12200</v>
      </c>
    </row>
    <row r="25" spans="1:6" x14ac:dyDescent="0.3">
      <c r="A25" s="12" t="s">
        <v>14</v>
      </c>
      <c r="B25" s="12">
        <v>2018</v>
      </c>
      <c r="C25" s="10">
        <v>33</v>
      </c>
      <c r="D25" s="10">
        <v>6000</v>
      </c>
      <c r="E25" s="10">
        <v>6100</v>
      </c>
      <c r="F25" s="10">
        <v>12600</v>
      </c>
    </row>
    <row r="26" spans="1:6" x14ac:dyDescent="0.3">
      <c r="A26" s="11" t="s">
        <v>14</v>
      </c>
      <c r="B26" s="11">
        <v>2019</v>
      </c>
      <c r="C26" s="7">
        <v>34</v>
      </c>
      <c r="D26" s="7">
        <v>6200</v>
      </c>
      <c r="E26" s="7">
        <v>6400</v>
      </c>
      <c r="F26" s="7">
        <v>13300</v>
      </c>
    </row>
    <row r="27" spans="1:6" x14ac:dyDescent="0.3">
      <c r="A27" s="12" t="s">
        <v>14</v>
      </c>
      <c r="B27" s="12">
        <v>2020</v>
      </c>
      <c r="C27" s="10">
        <v>35</v>
      </c>
      <c r="D27" s="10">
        <v>6400</v>
      </c>
      <c r="E27" s="10">
        <v>6700</v>
      </c>
      <c r="F27" s="10">
        <v>13900</v>
      </c>
    </row>
    <row r="28" spans="1:6" x14ac:dyDescent="0.3">
      <c r="A28" s="11" t="s">
        <v>14</v>
      </c>
      <c r="B28" s="11">
        <v>2021</v>
      </c>
      <c r="C28" s="7">
        <v>36</v>
      </c>
      <c r="D28" s="7">
        <v>6700</v>
      </c>
      <c r="E28" s="7">
        <v>7000</v>
      </c>
      <c r="F28" s="7">
        <v>14600</v>
      </c>
    </row>
    <row r="29" spans="1:6" x14ac:dyDescent="0.3">
      <c r="A29" s="12" t="s">
        <v>14</v>
      </c>
      <c r="B29" s="12">
        <v>2022</v>
      </c>
      <c r="C29" s="10">
        <v>37</v>
      </c>
      <c r="D29" s="10">
        <v>6900</v>
      </c>
      <c r="E29" s="10">
        <v>7400</v>
      </c>
      <c r="F29" s="10">
        <v>15400</v>
      </c>
    </row>
    <row r="30" spans="1:6" x14ac:dyDescent="0.3">
      <c r="A30" s="11" t="s">
        <v>14</v>
      </c>
      <c r="B30" s="11">
        <v>2023</v>
      </c>
      <c r="C30" s="7">
        <v>38</v>
      </c>
      <c r="D30" s="7">
        <v>7100</v>
      </c>
      <c r="E30" s="7">
        <v>7800</v>
      </c>
      <c r="F30" s="7">
        <v>16000</v>
      </c>
    </row>
    <row r="31" spans="1:6" x14ac:dyDescent="0.3">
      <c r="A31" s="8" t="s">
        <v>15</v>
      </c>
      <c r="B31" s="12">
        <v>2015</v>
      </c>
      <c r="C31" s="10">
        <v>71</v>
      </c>
      <c r="D31" s="10">
        <v>11600</v>
      </c>
      <c r="E31" s="10">
        <v>12850</v>
      </c>
      <c r="F31" s="10">
        <v>27300</v>
      </c>
    </row>
    <row r="32" spans="1:6" x14ac:dyDescent="0.3">
      <c r="A32" s="11" t="s">
        <v>15</v>
      </c>
      <c r="B32" s="11">
        <v>2016</v>
      </c>
      <c r="C32" s="7">
        <v>73</v>
      </c>
      <c r="D32" s="7">
        <v>11900</v>
      </c>
      <c r="E32" s="7">
        <v>13400</v>
      </c>
      <c r="F32" s="7">
        <v>28500</v>
      </c>
    </row>
    <row r="33" spans="1:6" x14ac:dyDescent="0.3">
      <c r="A33" s="12" t="s">
        <v>15</v>
      </c>
      <c r="B33" s="12">
        <v>2017</v>
      </c>
      <c r="C33" s="10">
        <v>75</v>
      </c>
      <c r="D33" s="10">
        <v>12400</v>
      </c>
      <c r="E33" s="10">
        <v>14000</v>
      </c>
      <c r="F33" s="10">
        <v>29600</v>
      </c>
    </row>
    <row r="34" spans="1:6" x14ac:dyDescent="0.3">
      <c r="A34" s="11" t="s">
        <v>15</v>
      </c>
      <c r="B34" s="11">
        <v>2018</v>
      </c>
      <c r="C34" s="7">
        <v>77</v>
      </c>
      <c r="D34" s="7">
        <v>12900</v>
      </c>
      <c r="E34" s="7">
        <v>14750</v>
      </c>
      <c r="F34" s="7">
        <v>30800</v>
      </c>
    </row>
    <row r="35" spans="1:6" x14ac:dyDescent="0.3">
      <c r="A35" s="12" t="s">
        <v>15</v>
      </c>
      <c r="B35" s="12">
        <v>2019</v>
      </c>
      <c r="C35" s="10">
        <v>78</v>
      </c>
      <c r="D35" s="10">
        <v>13300</v>
      </c>
      <c r="E35" s="10">
        <v>15500</v>
      </c>
      <c r="F35" s="10">
        <v>32400</v>
      </c>
    </row>
    <row r="36" spans="1:6" x14ac:dyDescent="0.3">
      <c r="A36" s="11" t="s">
        <v>15</v>
      </c>
      <c r="B36" s="11">
        <v>2020</v>
      </c>
      <c r="C36" s="7">
        <v>81</v>
      </c>
      <c r="D36" s="7">
        <v>13800</v>
      </c>
      <c r="E36" s="7">
        <v>16250</v>
      </c>
      <c r="F36" s="7">
        <v>33900</v>
      </c>
    </row>
    <row r="37" spans="1:6" x14ac:dyDescent="0.3">
      <c r="A37" s="12" t="s">
        <v>15</v>
      </c>
      <c r="B37" s="12">
        <v>2021</v>
      </c>
      <c r="C37" s="10">
        <v>84</v>
      </c>
      <c r="D37" s="10">
        <v>14400</v>
      </c>
      <c r="E37" s="10">
        <v>17000</v>
      </c>
      <c r="F37" s="10">
        <v>35500</v>
      </c>
    </row>
    <row r="38" spans="1:6" x14ac:dyDescent="0.3">
      <c r="A38" s="11" t="s">
        <v>15</v>
      </c>
      <c r="B38" s="11">
        <v>2022</v>
      </c>
      <c r="C38" s="7">
        <v>85</v>
      </c>
      <c r="D38" s="7">
        <v>14800</v>
      </c>
      <c r="E38" s="7">
        <v>17950</v>
      </c>
      <c r="F38" s="7">
        <v>37400</v>
      </c>
    </row>
    <row r="39" spans="1:6" x14ac:dyDescent="0.3">
      <c r="A39" s="12" t="s">
        <v>15</v>
      </c>
      <c r="B39" s="12">
        <v>2023</v>
      </c>
      <c r="C39" s="10">
        <v>87</v>
      </c>
      <c r="D39" s="10">
        <v>15300</v>
      </c>
      <c r="E39" s="10">
        <v>18900</v>
      </c>
      <c r="F39" s="10">
        <v>39000</v>
      </c>
    </row>
    <row r="40" spans="1:6" x14ac:dyDescent="0.3">
      <c r="A40" s="5" t="s">
        <v>16</v>
      </c>
      <c r="B40" s="11">
        <v>2015</v>
      </c>
      <c r="C40" s="7">
        <v>34</v>
      </c>
      <c r="D40" s="7">
        <v>4700</v>
      </c>
      <c r="E40" s="7">
        <v>4150</v>
      </c>
      <c r="F40" s="7">
        <v>9100</v>
      </c>
    </row>
    <row r="41" spans="1:6" x14ac:dyDescent="0.3">
      <c r="A41" s="12" t="s">
        <v>16</v>
      </c>
      <c r="B41" s="12">
        <v>2016</v>
      </c>
      <c r="C41" s="10">
        <v>35</v>
      </c>
      <c r="D41" s="10">
        <v>4800</v>
      </c>
      <c r="E41" s="10">
        <v>4350</v>
      </c>
      <c r="F41" s="10">
        <v>9500</v>
      </c>
    </row>
    <row r="42" spans="1:6" x14ac:dyDescent="0.3">
      <c r="A42" s="11" t="s">
        <v>16</v>
      </c>
      <c r="B42" s="11">
        <v>2017</v>
      </c>
      <c r="C42" s="7">
        <v>36</v>
      </c>
      <c r="D42" s="7">
        <v>5000</v>
      </c>
      <c r="E42" s="7">
        <v>4500</v>
      </c>
      <c r="F42" s="7">
        <v>9900</v>
      </c>
    </row>
    <row r="43" spans="1:6" x14ac:dyDescent="0.3">
      <c r="A43" s="12" t="s">
        <v>16</v>
      </c>
      <c r="B43" s="12">
        <v>2018</v>
      </c>
      <c r="C43" s="10">
        <v>37</v>
      </c>
      <c r="D43" s="10">
        <v>5200</v>
      </c>
      <c r="E43" s="10">
        <v>4750</v>
      </c>
      <c r="F43" s="10">
        <v>10300</v>
      </c>
    </row>
    <row r="44" spans="1:6" x14ac:dyDescent="0.3">
      <c r="A44" s="11" t="s">
        <v>16</v>
      </c>
      <c r="B44" s="11">
        <v>2019</v>
      </c>
      <c r="C44" s="7">
        <v>38</v>
      </c>
      <c r="D44" s="7">
        <v>5400</v>
      </c>
      <c r="E44" s="7">
        <v>5000</v>
      </c>
      <c r="F44" s="7">
        <v>10800</v>
      </c>
    </row>
    <row r="45" spans="1:6" x14ac:dyDescent="0.3">
      <c r="A45" s="12" t="s">
        <v>16</v>
      </c>
      <c r="B45" s="12">
        <v>2020</v>
      </c>
      <c r="C45" s="10">
        <v>39</v>
      </c>
      <c r="D45" s="10">
        <v>5600</v>
      </c>
      <c r="E45" s="10">
        <v>5250</v>
      </c>
      <c r="F45" s="10">
        <v>11300</v>
      </c>
    </row>
    <row r="46" spans="1:6" x14ac:dyDescent="0.3">
      <c r="A46" s="11" t="s">
        <v>16</v>
      </c>
      <c r="B46" s="11">
        <v>2021</v>
      </c>
      <c r="C46" s="7">
        <v>40</v>
      </c>
      <c r="D46" s="7">
        <v>5800</v>
      </c>
      <c r="E46" s="7">
        <v>5500</v>
      </c>
      <c r="F46" s="7">
        <v>11800</v>
      </c>
    </row>
    <row r="47" spans="1:6" x14ac:dyDescent="0.3">
      <c r="A47" s="12" t="s">
        <v>16</v>
      </c>
      <c r="B47" s="12">
        <v>2022</v>
      </c>
      <c r="C47" s="10">
        <v>41</v>
      </c>
      <c r="D47" s="10">
        <v>6000</v>
      </c>
      <c r="E47" s="10">
        <v>5800</v>
      </c>
      <c r="F47" s="10">
        <v>12500</v>
      </c>
    </row>
    <row r="48" spans="1:6" x14ac:dyDescent="0.3">
      <c r="A48" s="11" t="s">
        <v>16</v>
      </c>
      <c r="B48" s="11">
        <v>2023</v>
      </c>
      <c r="C48" s="7">
        <v>42</v>
      </c>
      <c r="D48" s="7">
        <v>6200</v>
      </c>
      <c r="E48" s="7">
        <v>6100</v>
      </c>
      <c r="F48" s="7">
        <v>13000</v>
      </c>
    </row>
    <row r="49" spans="1:6" x14ac:dyDescent="0.3">
      <c r="A49" s="8" t="s">
        <v>17</v>
      </c>
      <c r="B49" s="12">
        <v>2015</v>
      </c>
      <c r="C49" s="10">
        <v>18</v>
      </c>
      <c r="D49" s="10">
        <v>2400</v>
      </c>
      <c r="E49" s="10">
        <v>1950</v>
      </c>
      <c r="F49" s="10">
        <v>4300</v>
      </c>
    </row>
    <row r="50" spans="1:6" x14ac:dyDescent="0.3">
      <c r="A50" s="11" t="s">
        <v>17</v>
      </c>
      <c r="B50" s="11">
        <v>2016</v>
      </c>
      <c r="C50" s="7">
        <v>18</v>
      </c>
      <c r="D50" s="7">
        <v>2400</v>
      </c>
      <c r="E50" s="7">
        <v>2050</v>
      </c>
      <c r="F50" s="7">
        <v>4500</v>
      </c>
    </row>
    <row r="51" spans="1:6" x14ac:dyDescent="0.3">
      <c r="A51" s="12" t="s">
        <v>17</v>
      </c>
      <c r="B51" s="12">
        <v>2017</v>
      </c>
      <c r="C51" s="10">
        <v>19</v>
      </c>
      <c r="D51" s="10">
        <v>2500</v>
      </c>
      <c r="E51" s="10">
        <v>2150</v>
      </c>
      <c r="F51" s="10">
        <v>4700</v>
      </c>
    </row>
    <row r="52" spans="1:6" x14ac:dyDescent="0.3">
      <c r="A52" s="11" t="s">
        <v>17</v>
      </c>
      <c r="B52" s="11">
        <v>2018</v>
      </c>
      <c r="C52" s="7">
        <v>19</v>
      </c>
      <c r="D52" s="7">
        <v>2600</v>
      </c>
      <c r="E52" s="7">
        <v>2250</v>
      </c>
      <c r="F52" s="7">
        <v>4900</v>
      </c>
    </row>
    <row r="53" spans="1:6" x14ac:dyDescent="0.3">
      <c r="A53" s="12" t="s">
        <v>17</v>
      </c>
      <c r="B53" s="12">
        <v>2019</v>
      </c>
      <c r="C53" s="10">
        <v>20</v>
      </c>
      <c r="D53" s="10">
        <v>2700</v>
      </c>
      <c r="E53" s="10">
        <v>2400</v>
      </c>
      <c r="F53" s="10">
        <v>5100</v>
      </c>
    </row>
    <row r="54" spans="1:6" x14ac:dyDescent="0.3">
      <c r="A54" s="11" t="s">
        <v>17</v>
      </c>
      <c r="B54" s="11">
        <v>2020</v>
      </c>
      <c r="C54" s="7">
        <v>20</v>
      </c>
      <c r="D54" s="7">
        <v>2800</v>
      </c>
      <c r="E54" s="7">
        <v>2500</v>
      </c>
      <c r="F54" s="7">
        <v>5400</v>
      </c>
    </row>
    <row r="55" spans="1:6" x14ac:dyDescent="0.3">
      <c r="A55" s="12" t="s">
        <v>17</v>
      </c>
      <c r="B55" s="12">
        <v>2021</v>
      </c>
      <c r="C55" s="10">
        <v>21</v>
      </c>
      <c r="D55" s="10">
        <v>2900</v>
      </c>
      <c r="E55" s="10">
        <v>2600</v>
      </c>
      <c r="F55" s="10">
        <v>5600</v>
      </c>
    </row>
    <row r="56" spans="1:6" x14ac:dyDescent="0.3">
      <c r="A56" s="11" t="s">
        <v>17</v>
      </c>
      <c r="B56" s="11">
        <v>2022</v>
      </c>
      <c r="C56" s="7">
        <v>22</v>
      </c>
      <c r="D56" s="7">
        <v>3000</v>
      </c>
      <c r="E56" s="7">
        <v>2750</v>
      </c>
      <c r="F56" s="7">
        <v>6000</v>
      </c>
    </row>
    <row r="57" spans="1:6" x14ac:dyDescent="0.3">
      <c r="A57" s="12" t="s">
        <v>17</v>
      </c>
      <c r="B57" s="12">
        <v>2023</v>
      </c>
      <c r="C57" s="10">
        <v>22</v>
      </c>
      <c r="D57" s="10">
        <v>3100</v>
      </c>
      <c r="E57" s="10">
        <v>2900</v>
      </c>
      <c r="F57" s="10">
        <v>6200</v>
      </c>
    </row>
    <row r="58" spans="1:6" x14ac:dyDescent="0.3">
      <c r="A58" s="5" t="s">
        <v>18</v>
      </c>
      <c r="B58" s="11">
        <v>2015</v>
      </c>
      <c r="C58" s="7">
        <v>15</v>
      </c>
      <c r="D58" s="7">
        <v>1800</v>
      </c>
      <c r="E58" s="7">
        <v>1300</v>
      </c>
      <c r="F58" s="7">
        <v>2900</v>
      </c>
    </row>
    <row r="59" spans="1:6" x14ac:dyDescent="0.3">
      <c r="A59" s="12" t="s">
        <v>18</v>
      </c>
      <c r="B59" s="12">
        <v>2016</v>
      </c>
      <c r="C59" s="10">
        <v>15</v>
      </c>
      <c r="D59" s="10">
        <v>1900</v>
      </c>
      <c r="E59" s="10">
        <v>1350</v>
      </c>
      <c r="F59" s="10">
        <v>3000</v>
      </c>
    </row>
    <row r="60" spans="1:6" x14ac:dyDescent="0.3">
      <c r="A60" s="11" t="s">
        <v>18</v>
      </c>
      <c r="B60" s="11">
        <v>2017</v>
      </c>
      <c r="C60" s="7">
        <v>15</v>
      </c>
      <c r="D60" s="7">
        <v>1900</v>
      </c>
      <c r="E60" s="7">
        <v>1400</v>
      </c>
      <c r="F60" s="7">
        <v>3100</v>
      </c>
    </row>
    <row r="61" spans="1:6" x14ac:dyDescent="0.3">
      <c r="A61" s="12" t="s">
        <v>18</v>
      </c>
      <c r="B61" s="12">
        <v>2018</v>
      </c>
      <c r="C61" s="10">
        <v>16</v>
      </c>
      <c r="D61" s="10">
        <v>2000</v>
      </c>
      <c r="E61" s="10">
        <v>1500</v>
      </c>
      <c r="F61" s="10">
        <v>3200</v>
      </c>
    </row>
    <row r="62" spans="1:6" x14ac:dyDescent="0.3">
      <c r="A62" s="11" t="s">
        <v>18</v>
      </c>
      <c r="B62" s="11">
        <v>2019</v>
      </c>
      <c r="C62" s="7">
        <v>16</v>
      </c>
      <c r="D62" s="7">
        <v>2100</v>
      </c>
      <c r="E62" s="7">
        <v>1550</v>
      </c>
      <c r="F62" s="7">
        <v>3400</v>
      </c>
    </row>
    <row r="63" spans="1:6" x14ac:dyDescent="0.3">
      <c r="A63" s="12" t="s">
        <v>18</v>
      </c>
      <c r="B63" s="12">
        <v>2020</v>
      </c>
      <c r="C63" s="10">
        <v>17</v>
      </c>
      <c r="D63" s="10">
        <v>2200</v>
      </c>
      <c r="E63" s="10">
        <v>1650</v>
      </c>
      <c r="F63" s="10">
        <v>3600</v>
      </c>
    </row>
    <row r="64" spans="1:6" x14ac:dyDescent="0.3">
      <c r="A64" s="11" t="s">
        <v>18</v>
      </c>
      <c r="B64" s="11">
        <v>2021</v>
      </c>
      <c r="C64" s="7">
        <v>17</v>
      </c>
      <c r="D64" s="7">
        <v>2300</v>
      </c>
      <c r="E64" s="7">
        <v>1700</v>
      </c>
      <c r="F64" s="7">
        <v>3700</v>
      </c>
    </row>
    <row r="65" spans="1:6" x14ac:dyDescent="0.3">
      <c r="A65" s="12" t="s">
        <v>18</v>
      </c>
      <c r="B65" s="12">
        <v>2022</v>
      </c>
      <c r="C65" s="10">
        <v>18</v>
      </c>
      <c r="D65" s="10">
        <v>2300</v>
      </c>
      <c r="E65" s="10">
        <v>1800</v>
      </c>
      <c r="F65" s="10">
        <v>3900</v>
      </c>
    </row>
    <row r="66" spans="1:6" x14ac:dyDescent="0.3">
      <c r="A66" s="11" t="s">
        <v>18</v>
      </c>
      <c r="B66" s="11">
        <v>2023</v>
      </c>
      <c r="C66" s="7">
        <v>18</v>
      </c>
      <c r="D66" s="7">
        <v>2400</v>
      </c>
      <c r="E66" s="7">
        <v>1900</v>
      </c>
      <c r="F66" s="7">
        <v>4100</v>
      </c>
    </row>
    <row r="67" spans="1:6" x14ac:dyDescent="0.3">
      <c r="A67" s="8" t="s">
        <v>19</v>
      </c>
      <c r="B67" s="12">
        <v>2015</v>
      </c>
      <c r="C67" s="10">
        <v>10</v>
      </c>
      <c r="D67" s="10">
        <v>1100</v>
      </c>
      <c r="E67" s="10">
        <v>650</v>
      </c>
      <c r="F67" s="10">
        <v>1500</v>
      </c>
    </row>
    <row r="68" spans="1:6" x14ac:dyDescent="0.3">
      <c r="A68" s="11" t="s">
        <v>19</v>
      </c>
      <c r="B68" s="11">
        <v>2016</v>
      </c>
      <c r="C68" s="7">
        <v>10</v>
      </c>
      <c r="D68" s="7">
        <v>1100</v>
      </c>
      <c r="E68" s="7">
        <v>650</v>
      </c>
      <c r="F68" s="7">
        <v>1500</v>
      </c>
    </row>
    <row r="69" spans="1:6" x14ac:dyDescent="0.3">
      <c r="A69" s="12" t="s">
        <v>19</v>
      </c>
      <c r="B69" s="12">
        <v>2017</v>
      </c>
      <c r="C69" s="10">
        <v>10</v>
      </c>
      <c r="D69" s="10">
        <v>1100</v>
      </c>
      <c r="E69" s="10">
        <v>700</v>
      </c>
      <c r="F69" s="10">
        <v>1600</v>
      </c>
    </row>
    <row r="70" spans="1:6" x14ac:dyDescent="0.3">
      <c r="A70" s="11" t="s">
        <v>19</v>
      </c>
      <c r="B70" s="11">
        <v>2018</v>
      </c>
      <c r="C70" s="7">
        <v>11</v>
      </c>
      <c r="D70" s="7">
        <v>1200</v>
      </c>
      <c r="E70" s="7">
        <v>750</v>
      </c>
      <c r="F70" s="7">
        <v>1700</v>
      </c>
    </row>
    <row r="71" spans="1:6" x14ac:dyDescent="0.3">
      <c r="A71" s="12" t="s">
        <v>19</v>
      </c>
      <c r="B71" s="12">
        <v>2019</v>
      </c>
      <c r="C71" s="10">
        <v>11</v>
      </c>
      <c r="D71" s="10">
        <v>1200</v>
      </c>
      <c r="E71" s="10">
        <v>800</v>
      </c>
      <c r="F71" s="10">
        <v>1700</v>
      </c>
    </row>
    <row r="72" spans="1:6" x14ac:dyDescent="0.3">
      <c r="A72" s="11" t="s">
        <v>19</v>
      </c>
      <c r="B72" s="11">
        <v>2020</v>
      </c>
      <c r="C72" s="7">
        <v>11</v>
      </c>
      <c r="D72" s="7">
        <v>1300</v>
      </c>
      <c r="E72" s="7">
        <v>800</v>
      </c>
      <c r="F72" s="7">
        <v>1800</v>
      </c>
    </row>
    <row r="73" spans="1:6" x14ac:dyDescent="0.3">
      <c r="A73" s="12" t="s">
        <v>19</v>
      </c>
      <c r="B73" s="12">
        <v>2021</v>
      </c>
      <c r="C73" s="10">
        <v>12</v>
      </c>
      <c r="D73" s="10">
        <v>1300</v>
      </c>
      <c r="E73" s="10">
        <v>850</v>
      </c>
      <c r="F73" s="10">
        <v>1900</v>
      </c>
    </row>
    <row r="74" spans="1:6" x14ac:dyDescent="0.3">
      <c r="A74" s="11" t="s">
        <v>19</v>
      </c>
      <c r="B74" s="11">
        <v>2022</v>
      </c>
      <c r="C74" s="7">
        <v>12</v>
      </c>
      <c r="D74" s="7">
        <v>1400</v>
      </c>
      <c r="E74" s="7">
        <v>900</v>
      </c>
      <c r="F74" s="7">
        <v>2000</v>
      </c>
    </row>
    <row r="75" spans="1:6" x14ac:dyDescent="0.3">
      <c r="A75" s="12" t="s">
        <v>19</v>
      </c>
      <c r="B75" s="12">
        <v>2023</v>
      </c>
      <c r="C75" s="10">
        <v>12</v>
      </c>
      <c r="D75" s="10">
        <v>1400</v>
      </c>
      <c r="E75" s="10">
        <v>950</v>
      </c>
      <c r="F75" s="10">
        <v>2100</v>
      </c>
    </row>
    <row r="76" spans="1:6" x14ac:dyDescent="0.3">
      <c r="A76" s="5" t="s">
        <v>20</v>
      </c>
      <c r="B76" s="11">
        <v>2015</v>
      </c>
      <c r="C76" s="7">
        <v>23</v>
      </c>
      <c r="D76" s="7">
        <v>3100</v>
      </c>
      <c r="E76" s="7">
        <v>2450</v>
      </c>
      <c r="F76" s="7">
        <v>5500</v>
      </c>
    </row>
    <row r="77" spans="1:6" x14ac:dyDescent="0.3">
      <c r="A77" s="12" t="s">
        <v>20</v>
      </c>
      <c r="B77" s="12">
        <v>2016</v>
      </c>
      <c r="C77" s="10">
        <v>24</v>
      </c>
      <c r="D77" s="10">
        <v>3200</v>
      </c>
      <c r="E77" s="10">
        <v>2550</v>
      </c>
      <c r="F77" s="10">
        <v>5700</v>
      </c>
    </row>
    <row r="78" spans="1:6" x14ac:dyDescent="0.3">
      <c r="A78" s="11" t="s">
        <v>20</v>
      </c>
      <c r="B78" s="11">
        <v>2017</v>
      </c>
      <c r="C78" s="7">
        <v>24</v>
      </c>
      <c r="D78" s="7">
        <v>3300</v>
      </c>
      <c r="E78" s="7">
        <v>2650</v>
      </c>
      <c r="F78" s="7">
        <v>5900</v>
      </c>
    </row>
    <row r="79" spans="1:6" x14ac:dyDescent="0.3">
      <c r="A79" s="12" t="s">
        <v>20</v>
      </c>
      <c r="B79" s="12">
        <v>2018</v>
      </c>
      <c r="C79" s="10">
        <v>25</v>
      </c>
      <c r="D79" s="10">
        <v>3400</v>
      </c>
      <c r="E79" s="10">
        <v>2800</v>
      </c>
      <c r="F79" s="10">
        <v>6200</v>
      </c>
    </row>
    <row r="80" spans="1:6" x14ac:dyDescent="0.3">
      <c r="A80" s="11" t="s">
        <v>20</v>
      </c>
      <c r="B80" s="11">
        <v>2019</v>
      </c>
      <c r="C80" s="7">
        <v>25</v>
      </c>
      <c r="D80" s="7">
        <v>3600</v>
      </c>
      <c r="E80" s="7">
        <v>2950</v>
      </c>
      <c r="F80" s="7">
        <v>6500</v>
      </c>
    </row>
    <row r="81" spans="1:6" x14ac:dyDescent="0.3">
      <c r="A81" s="12" t="s">
        <v>20</v>
      </c>
      <c r="B81" s="12">
        <v>2020</v>
      </c>
      <c r="C81" s="10">
        <v>26</v>
      </c>
      <c r="D81" s="10">
        <v>3700</v>
      </c>
      <c r="E81" s="10">
        <v>3100</v>
      </c>
      <c r="F81" s="10">
        <v>6800</v>
      </c>
    </row>
    <row r="82" spans="1:6" x14ac:dyDescent="0.3">
      <c r="A82" s="11" t="s">
        <v>20</v>
      </c>
      <c r="B82" s="11">
        <v>2021</v>
      </c>
      <c r="C82" s="7">
        <v>27</v>
      </c>
      <c r="D82" s="7">
        <v>3900</v>
      </c>
      <c r="E82" s="7">
        <v>3250</v>
      </c>
      <c r="F82" s="7">
        <v>7100</v>
      </c>
    </row>
    <row r="83" spans="1:6" x14ac:dyDescent="0.3">
      <c r="A83" s="12" t="s">
        <v>20</v>
      </c>
      <c r="B83" s="12">
        <v>2022</v>
      </c>
      <c r="C83" s="10">
        <v>27</v>
      </c>
      <c r="D83" s="10">
        <v>4000</v>
      </c>
      <c r="E83" s="10">
        <v>3400</v>
      </c>
      <c r="F83" s="10">
        <v>7500</v>
      </c>
    </row>
    <row r="84" spans="1:6" x14ac:dyDescent="0.3">
      <c r="A84" s="11" t="s">
        <v>20</v>
      </c>
      <c r="B84" s="11">
        <v>2023</v>
      </c>
      <c r="C84" s="7">
        <v>28</v>
      </c>
      <c r="D84" s="7">
        <v>4100</v>
      </c>
      <c r="E84" s="7">
        <v>3600</v>
      </c>
      <c r="F84" s="7">
        <v>7800</v>
      </c>
    </row>
    <row r="85" spans="1:6" x14ac:dyDescent="0.3">
      <c r="A85" s="8" t="s">
        <v>21</v>
      </c>
      <c r="B85" s="12">
        <v>2015</v>
      </c>
      <c r="C85" s="10">
        <v>11</v>
      </c>
      <c r="D85" s="10">
        <v>1400</v>
      </c>
      <c r="E85" s="10">
        <v>1000</v>
      </c>
      <c r="F85" s="10">
        <v>2200</v>
      </c>
    </row>
    <row r="86" spans="1:6" x14ac:dyDescent="0.3">
      <c r="A86" s="11" t="s">
        <v>21</v>
      </c>
      <c r="B86" s="11">
        <v>2016</v>
      </c>
      <c r="C86" s="7">
        <v>12</v>
      </c>
      <c r="D86" s="7">
        <v>1400</v>
      </c>
      <c r="E86" s="7">
        <v>1050</v>
      </c>
      <c r="F86" s="7">
        <v>2300</v>
      </c>
    </row>
    <row r="87" spans="1:6" x14ac:dyDescent="0.3">
      <c r="A87" s="12" t="s">
        <v>21</v>
      </c>
      <c r="B87" s="12">
        <v>2017</v>
      </c>
      <c r="C87" s="10">
        <v>12</v>
      </c>
      <c r="D87" s="10">
        <v>1500</v>
      </c>
      <c r="E87" s="10">
        <v>1100</v>
      </c>
      <c r="F87" s="10">
        <v>2400</v>
      </c>
    </row>
    <row r="88" spans="1:6" x14ac:dyDescent="0.3">
      <c r="A88" s="11" t="s">
        <v>21</v>
      </c>
      <c r="B88" s="11">
        <v>2018</v>
      </c>
      <c r="C88" s="7">
        <v>12</v>
      </c>
      <c r="D88" s="7">
        <v>1500</v>
      </c>
      <c r="E88" s="7">
        <v>1150</v>
      </c>
      <c r="F88" s="7">
        <v>2500</v>
      </c>
    </row>
    <row r="89" spans="1:6" x14ac:dyDescent="0.3">
      <c r="A89" s="12" t="s">
        <v>21</v>
      </c>
      <c r="B89" s="12">
        <v>2019</v>
      </c>
      <c r="C89" s="10">
        <v>13</v>
      </c>
      <c r="D89" s="10">
        <v>1600</v>
      </c>
      <c r="E89" s="10">
        <v>1250</v>
      </c>
      <c r="F89" s="10">
        <v>2700</v>
      </c>
    </row>
    <row r="90" spans="1:6" x14ac:dyDescent="0.3">
      <c r="A90" s="11" t="s">
        <v>21</v>
      </c>
      <c r="B90" s="11">
        <v>2020</v>
      </c>
      <c r="C90" s="7">
        <v>13</v>
      </c>
      <c r="D90" s="7">
        <v>1600</v>
      </c>
      <c r="E90" s="7">
        <v>1300</v>
      </c>
      <c r="F90" s="7">
        <v>2800</v>
      </c>
    </row>
    <row r="91" spans="1:6" x14ac:dyDescent="0.3">
      <c r="A91" s="12" t="s">
        <v>21</v>
      </c>
      <c r="B91" s="12">
        <v>2021</v>
      </c>
      <c r="C91" s="10">
        <v>13</v>
      </c>
      <c r="D91" s="10">
        <v>1700</v>
      </c>
      <c r="E91" s="10">
        <v>1350</v>
      </c>
      <c r="F91" s="10">
        <v>2900</v>
      </c>
    </row>
    <row r="92" spans="1:6" x14ac:dyDescent="0.3">
      <c r="A92" s="11" t="s">
        <v>21</v>
      </c>
      <c r="B92" s="11">
        <v>2022</v>
      </c>
      <c r="C92" s="7">
        <v>14</v>
      </c>
      <c r="D92" s="7">
        <v>1700</v>
      </c>
      <c r="E92" s="7">
        <v>1400</v>
      </c>
      <c r="F92" s="7">
        <v>3100</v>
      </c>
    </row>
    <row r="93" spans="1:6" x14ac:dyDescent="0.3">
      <c r="A93" s="12" t="s">
        <v>21</v>
      </c>
      <c r="B93" s="12">
        <v>2023</v>
      </c>
      <c r="C93" s="10">
        <v>14</v>
      </c>
      <c r="D93" s="10">
        <v>1800</v>
      </c>
      <c r="E93" s="10">
        <v>1500</v>
      </c>
      <c r="F93" s="10">
        <v>3200</v>
      </c>
    </row>
    <row r="94" spans="1:6" x14ac:dyDescent="0.3">
      <c r="A94" s="5" t="s">
        <v>22</v>
      </c>
      <c r="B94" s="11">
        <v>2015</v>
      </c>
      <c r="C94" s="7">
        <v>9</v>
      </c>
      <c r="D94" s="7">
        <v>1000</v>
      </c>
      <c r="E94" s="7">
        <v>700</v>
      </c>
      <c r="F94" s="7">
        <v>1600</v>
      </c>
    </row>
    <row r="95" spans="1:6" x14ac:dyDescent="0.3">
      <c r="A95" s="12" t="s">
        <v>22</v>
      </c>
      <c r="B95" s="12">
        <v>2016</v>
      </c>
      <c r="C95" s="10">
        <v>9</v>
      </c>
      <c r="D95" s="10">
        <v>1000</v>
      </c>
      <c r="E95" s="10">
        <v>750</v>
      </c>
      <c r="F95" s="10">
        <v>1700</v>
      </c>
    </row>
    <row r="96" spans="1:6" x14ac:dyDescent="0.3">
      <c r="A96" s="11" t="s">
        <v>22</v>
      </c>
      <c r="B96" s="11">
        <v>2017</v>
      </c>
      <c r="C96" s="7">
        <v>9</v>
      </c>
      <c r="D96" s="7">
        <v>1100</v>
      </c>
      <c r="E96" s="7">
        <v>800</v>
      </c>
      <c r="F96" s="7">
        <v>1700</v>
      </c>
    </row>
    <row r="97" spans="1:6" x14ac:dyDescent="0.3">
      <c r="A97" s="12" t="s">
        <v>22</v>
      </c>
      <c r="B97" s="12">
        <v>2018</v>
      </c>
      <c r="C97" s="10">
        <v>10</v>
      </c>
      <c r="D97" s="10">
        <v>1100</v>
      </c>
      <c r="E97" s="10">
        <v>800</v>
      </c>
      <c r="F97" s="10">
        <v>1800</v>
      </c>
    </row>
    <row r="98" spans="1:6" x14ac:dyDescent="0.3">
      <c r="A98" s="11" t="s">
        <v>22</v>
      </c>
      <c r="B98" s="11">
        <v>2019</v>
      </c>
      <c r="C98" s="7">
        <v>10</v>
      </c>
      <c r="D98" s="7">
        <v>1100</v>
      </c>
      <c r="E98" s="7">
        <v>850</v>
      </c>
      <c r="F98" s="7">
        <v>1900</v>
      </c>
    </row>
    <row r="99" spans="1:6" x14ac:dyDescent="0.3">
      <c r="A99" s="12" t="s">
        <v>22</v>
      </c>
      <c r="B99" s="12">
        <v>2020</v>
      </c>
      <c r="C99" s="10">
        <v>10</v>
      </c>
      <c r="D99" s="10">
        <v>1200</v>
      </c>
      <c r="E99" s="10">
        <v>900</v>
      </c>
      <c r="F99" s="10">
        <v>2000</v>
      </c>
    </row>
    <row r="100" spans="1:6" x14ac:dyDescent="0.3">
      <c r="A100" s="11" t="s">
        <v>22</v>
      </c>
      <c r="B100" s="11">
        <v>2021</v>
      </c>
      <c r="C100" s="7">
        <v>11</v>
      </c>
      <c r="D100" s="7">
        <v>1200</v>
      </c>
      <c r="E100" s="7">
        <v>950</v>
      </c>
      <c r="F100" s="7">
        <v>2100</v>
      </c>
    </row>
    <row r="101" spans="1:6" x14ac:dyDescent="0.3">
      <c r="A101" s="12" t="s">
        <v>22</v>
      </c>
      <c r="B101" s="12">
        <v>2022</v>
      </c>
      <c r="C101" s="10">
        <v>11</v>
      </c>
      <c r="D101" s="10">
        <v>1300</v>
      </c>
      <c r="E101" s="10">
        <v>1000</v>
      </c>
      <c r="F101" s="10">
        <v>2200</v>
      </c>
    </row>
    <row r="102" spans="1:6" x14ac:dyDescent="0.3">
      <c r="A102" s="11" t="s">
        <v>22</v>
      </c>
      <c r="B102" s="11">
        <v>2023</v>
      </c>
      <c r="C102" s="7">
        <v>11</v>
      </c>
      <c r="D102" s="7">
        <v>1300</v>
      </c>
      <c r="E102" s="7">
        <v>1050</v>
      </c>
      <c r="F102" s="7">
        <v>2300</v>
      </c>
    </row>
    <row r="103" spans="1:6" x14ac:dyDescent="0.3">
      <c r="A103" s="8" t="s">
        <v>23</v>
      </c>
      <c r="B103" s="12">
        <v>2015</v>
      </c>
      <c r="C103" s="10">
        <v>11</v>
      </c>
      <c r="D103" s="10">
        <v>1200</v>
      </c>
      <c r="E103" s="10">
        <v>800</v>
      </c>
      <c r="F103" s="10">
        <v>1900</v>
      </c>
    </row>
    <row r="104" spans="1:6" x14ac:dyDescent="0.3">
      <c r="A104" s="11" t="s">
        <v>23</v>
      </c>
      <c r="B104" s="11">
        <v>2016</v>
      </c>
      <c r="C104" s="7">
        <v>11</v>
      </c>
      <c r="D104" s="7">
        <v>1200</v>
      </c>
      <c r="E104" s="7">
        <v>850</v>
      </c>
      <c r="F104" s="7">
        <v>2000</v>
      </c>
    </row>
    <row r="105" spans="1:6" x14ac:dyDescent="0.3">
      <c r="A105" s="12" t="s">
        <v>23</v>
      </c>
      <c r="B105" s="12">
        <v>2017</v>
      </c>
      <c r="C105" s="10">
        <v>11</v>
      </c>
      <c r="D105" s="10">
        <v>1300</v>
      </c>
      <c r="E105" s="10">
        <v>900</v>
      </c>
      <c r="F105" s="10">
        <v>2100</v>
      </c>
    </row>
    <row r="106" spans="1:6" x14ac:dyDescent="0.3">
      <c r="A106" s="11" t="s">
        <v>23</v>
      </c>
      <c r="B106" s="11">
        <v>2018</v>
      </c>
      <c r="C106" s="7">
        <v>11</v>
      </c>
      <c r="D106" s="7">
        <v>1300</v>
      </c>
      <c r="E106" s="7">
        <v>950</v>
      </c>
      <c r="F106" s="7">
        <v>2100</v>
      </c>
    </row>
    <row r="107" spans="1:6" x14ac:dyDescent="0.3">
      <c r="A107" s="12" t="s">
        <v>23</v>
      </c>
      <c r="B107" s="12">
        <v>2019</v>
      </c>
      <c r="C107" s="10">
        <v>12</v>
      </c>
      <c r="D107" s="10">
        <v>1400</v>
      </c>
      <c r="E107" s="10">
        <v>1000</v>
      </c>
      <c r="F107" s="10">
        <v>2200</v>
      </c>
    </row>
    <row r="108" spans="1:6" x14ac:dyDescent="0.3">
      <c r="A108" s="11" t="s">
        <v>23</v>
      </c>
      <c r="B108" s="11">
        <v>2020</v>
      </c>
      <c r="C108" s="7">
        <v>12</v>
      </c>
      <c r="D108" s="7">
        <v>1400</v>
      </c>
      <c r="E108" s="7">
        <v>1050</v>
      </c>
      <c r="F108" s="7">
        <v>2300</v>
      </c>
    </row>
    <row r="109" spans="1:6" x14ac:dyDescent="0.3">
      <c r="A109" s="12" t="s">
        <v>23</v>
      </c>
      <c r="B109" s="12">
        <v>2021</v>
      </c>
      <c r="C109" s="10">
        <v>12</v>
      </c>
      <c r="D109" s="10">
        <v>1500</v>
      </c>
      <c r="E109" s="10">
        <v>1100</v>
      </c>
      <c r="F109" s="10">
        <v>2500</v>
      </c>
    </row>
    <row r="110" spans="1:6" x14ac:dyDescent="0.3">
      <c r="A110" s="11" t="s">
        <v>23</v>
      </c>
      <c r="B110" s="11">
        <v>2022</v>
      </c>
      <c r="C110" s="7">
        <v>13</v>
      </c>
      <c r="D110" s="7">
        <v>1600</v>
      </c>
      <c r="E110" s="7">
        <v>1150</v>
      </c>
      <c r="F110" s="7">
        <v>2600</v>
      </c>
    </row>
    <row r="111" spans="1:6" x14ac:dyDescent="0.3">
      <c r="A111" s="12" t="s">
        <v>23</v>
      </c>
      <c r="B111" s="12">
        <v>2023</v>
      </c>
      <c r="C111" s="10">
        <v>13</v>
      </c>
      <c r="D111" s="10">
        <v>1600</v>
      </c>
      <c r="E111" s="10">
        <v>1200</v>
      </c>
      <c r="F111" s="10">
        <v>2700</v>
      </c>
    </row>
    <row r="112" spans="1:6" x14ac:dyDescent="0.3">
      <c r="A112" s="5" t="s">
        <v>24</v>
      </c>
      <c r="B112" s="11">
        <v>2015</v>
      </c>
      <c r="C112" s="7">
        <v>29</v>
      </c>
      <c r="D112" s="7">
        <v>4000</v>
      </c>
      <c r="E112" s="7">
        <v>3650</v>
      </c>
      <c r="F112" s="7">
        <v>7800</v>
      </c>
    </row>
    <row r="113" spans="1:6" x14ac:dyDescent="0.3">
      <c r="A113" s="12" t="s">
        <v>24</v>
      </c>
      <c r="B113" s="12">
        <v>2016</v>
      </c>
      <c r="C113" s="10">
        <v>29</v>
      </c>
      <c r="D113" s="10">
        <v>4100</v>
      </c>
      <c r="E113" s="10">
        <v>3850</v>
      </c>
      <c r="F113" s="10">
        <v>8200</v>
      </c>
    </row>
    <row r="114" spans="1:6" x14ac:dyDescent="0.3">
      <c r="A114" s="11" t="s">
        <v>24</v>
      </c>
      <c r="B114" s="11">
        <v>2017</v>
      </c>
      <c r="C114" s="7">
        <v>30</v>
      </c>
      <c r="D114" s="7">
        <v>4200</v>
      </c>
      <c r="E114" s="7">
        <v>4000</v>
      </c>
      <c r="F114" s="7">
        <v>8500</v>
      </c>
    </row>
    <row r="115" spans="1:6" x14ac:dyDescent="0.3">
      <c r="A115" s="12" t="s">
        <v>24</v>
      </c>
      <c r="B115" s="12">
        <v>2018</v>
      </c>
      <c r="C115" s="10">
        <v>31</v>
      </c>
      <c r="D115" s="10">
        <v>4400</v>
      </c>
      <c r="E115" s="10">
        <v>4200</v>
      </c>
      <c r="F115" s="10">
        <v>8800</v>
      </c>
    </row>
    <row r="116" spans="1:6" x14ac:dyDescent="0.3">
      <c r="A116" s="11" t="s">
        <v>24</v>
      </c>
      <c r="B116" s="11">
        <v>2019</v>
      </c>
      <c r="C116" s="7">
        <v>32</v>
      </c>
      <c r="D116" s="7">
        <v>4500</v>
      </c>
      <c r="E116" s="7">
        <v>4450</v>
      </c>
      <c r="F116" s="7">
        <v>9300</v>
      </c>
    </row>
    <row r="117" spans="1:6" x14ac:dyDescent="0.3">
      <c r="A117" s="12" t="s">
        <v>24</v>
      </c>
      <c r="B117" s="12">
        <v>2020</v>
      </c>
      <c r="C117" s="10">
        <v>33</v>
      </c>
      <c r="D117" s="10">
        <v>4700</v>
      </c>
      <c r="E117" s="10">
        <v>4650</v>
      </c>
      <c r="F117" s="10">
        <v>9700</v>
      </c>
    </row>
    <row r="118" spans="1:6" x14ac:dyDescent="0.3">
      <c r="A118" s="11" t="s">
        <v>24</v>
      </c>
      <c r="B118" s="11">
        <v>2021</v>
      </c>
      <c r="C118" s="7">
        <v>34</v>
      </c>
      <c r="D118" s="7">
        <v>4900</v>
      </c>
      <c r="E118" s="7">
        <v>4850</v>
      </c>
      <c r="F118" s="7">
        <v>10200</v>
      </c>
    </row>
    <row r="119" spans="1:6" x14ac:dyDescent="0.3">
      <c r="A119" s="12" t="s">
        <v>24</v>
      </c>
      <c r="B119" s="12">
        <v>2022</v>
      </c>
      <c r="C119" s="10">
        <v>34</v>
      </c>
      <c r="D119" s="10">
        <v>5000</v>
      </c>
      <c r="E119" s="10">
        <v>5150</v>
      </c>
      <c r="F119" s="10">
        <v>10800</v>
      </c>
    </row>
    <row r="120" spans="1:6" x14ac:dyDescent="0.3">
      <c r="A120" s="11" t="s">
        <v>24</v>
      </c>
      <c r="B120" s="11">
        <v>2023</v>
      </c>
      <c r="C120" s="7">
        <v>35</v>
      </c>
      <c r="D120" s="7">
        <v>5200</v>
      </c>
      <c r="E120" s="7">
        <v>5400</v>
      </c>
      <c r="F120" s="7">
        <v>11200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zoomScaleNormal="100" workbookViewId="0"/>
  </sheetViews>
  <sheetFormatPr defaultColWidth="8.6640625" defaultRowHeight="14.4" x14ac:dyDescent="0.3"/>
  <cols>
    <col min="1" max="1" width="40" customWidth="1"/>
    <col min="2" max="2" width="16" customWidth="1"/>
    <col min="3" max="4" width="14" customWidth="1"/>
  </cols>
  <sheetData>
    <row r="1" spans="1:4" ht="27.75" customHeight="1" x14ac:dyDescent="0.3">
      <c r="A1" s="1" t="s">
        <v>36</v>
      </c>
      <c r="B1" s="1"/>
      <c r="C1" s="1"/>
      <c r="D1" s="1"/>
    </row>
    <row r="2" spans="1:4" x14ac:dyDescent="0.3">
      <c r="A2" s="4" t="s">
        <v>37</v>
      </c>
      <c r="B2" s="4" t="s">
        <v>38</v>
      </c>
      <c r="C2" s="4" t="s">
        <v>39</v>
      </c>
      <c r="D2" s="4" t="s">
        <v>40</v>
      </c>
    </row>
    <row r="3" spans="1:4" x14ac:dyDescent="0.3">
      <c r="A3" s="13" t="s">
        <v>41</v>
      </c>
      <c r="B3" s="10">
        <v>544</v>
      </c>
      <c r="C3" s="10">
        <v>472</v>
      </c>
      <c r="D3" s="13">
        <f t="shared" ref="D3:D10" si="0">((B3-C3)/C3)</f>
        <v>0.15254237288135594</v>
      </c>
    </row>
    <row r="4" spans="1:4" x14ac:dyDescent="0.3">
      <c r="A4" s="14" t="s">
        <v>42</v>
      </c>
      <c r="B4" s="7">
        <v>91800</v>
      </c>
      <c r="C4" s="7">
        <v>67000</v>
      </c>
      <c r="D4" s="14">
        <f t="shared" si="0"/>
        <v>0.37014925373134328</v>
      </c>
    </row>
    <row r="5" spans="1:4" x14ac:dyDescent="0.3">
      <c r="A5" s="13" t="s">
        <v>43</v>
      </c>
      <c r="B5" s="10">
        <v>148000</v>
      </c>
      <c r="C5" s="10">
        <v>89000</v>
      </c>
      <c r="D5" s="13">
        <f t="shared" si="0"/>
        <v>0.6629213483146067</v>
      </c>
    </row>
    <row r="6" spans="1:4" x14ac:dyDescent="0.3">
      <c r="A6" s="14" t="s">
        <v>44</v>
      </c>
      <c r="B6" s="7">
        <v>224100</v>
      </c>
      <c r="C6" s="7">
        <v>174000</v>
      </c>
      <c r="D6" s="14">
        <f t="shared" si="0"/>
        <v>0.28793103448275864</v>
      </c>
    </row>
    <row r="7" spans="1:4" x14ac:dyDescent="0.3">
      <c r="A7" s="13" t="s">
        <v>45</v>
      </c>
      <c r="B7" s="9">
        <v>2.6</v>
      </c>
      <c r="C7" s="9">
        <v>2.1</v>
      </c>
      <c r="D7" s="13">
        <f t="shared" si="0"/>
        <v>0.23809523809523808</v>
      </c>
    </row>
    <row r="8" spans="1:4" x14ac:dyDescent="0.3">
      <c r="A8" s="14" t="s">
        <v>46</v>
      </c>
      <c r="B8" s="6">
        <v>4.2</v>
      </c>
      <c r="C8" s="6">
        <v>2.7</v>
      </c>
      <c r="D8" s="14">
        <f t="shared" si="0"/>
        <v>0.55555555555555547</v>
      </c>
    </row>
    <row r="9" spans="1:4" x14ac:dyDescent="0.3">
      <c r="A9" s="13" t="s">
        <v>33</v>
      </c>
      <c r="B9" s="10">
        <v>133</v>
      </c>
      <c r="C9" s="10">
        <v>101</v>
      </c>
      <c r="D9" s="13">
        <f t="shared" si="0"/>
        <v>0.31683168316831684</v>
      </c>
    </row>
    <row r="10" spans="1:4" x14ac:dyDescent="0.3">
      <c r="A10" s="14" t="s">
        <v>32</v>
      </c>
      <c r="B10" s="7">
        <v>10150</v>
      </c>
      <c r="C10" s="7">
        <v>6500</v>
      </c>
      <c r="D10" s="14">
        <f t="shared" si="0"/>
        <v>0.56153846153846154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Regional_Snapshot</vt:lpstr>
      <vt:lpstr>Time_Series_2015_2023</vt:lpstr>
      <vt:lpstr>Regional_Trend_2015_2023</vt:lpstr>
      <vt:lpstr>KPI_Reference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Maimona</cp:lastModifiedBy>
  <cp:revision>0</cp:revision>
  <dcterms:created xsi:type="dcterms:W3CDTF">2026-06-28T07:39:30Z</dcterms:created>
  <dcterms:modified xsi:type="dcterms:W3CDTF">2026-06-28T12:17:50Z</dcterms:modified>
  <dc:language>en-US</dc:language>
</cp:coreProperties>
</file>